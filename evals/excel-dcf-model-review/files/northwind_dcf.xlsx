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DCF" sheetId="2" r:id="rId2"/>
    <sheet name="WACC" sheetId="3" r:id="rId3"/>
    <sheet name="BS" sheetId="4" r:id="rId4"/>
  </sheets>
  <calcPr calcId="124519" fullCalcOnLoad="1"/>
</workbook>
</file>

<file path=xl/sharedStrings.xml><?xml version="1.0" encoding="utf-8"?>
<sst xmlns="http://schemas.openxmlformats.org/spreadsheetml/2006/main" count="62" uniqueCount="60">
  <si>
    <t>Northwind Industrial - DCF assumptions ($ millions)</t>
  </si>
  <si>
    <t>Revenue growth</t>
  </si>
  <si>
    <t>EBIT margin</t>
  </si>
  <si>
    <t>Tax rate</t>
  </si>
  <si>
    <t>D&amp;A (% of revenue)</t>
  </si>
  <si>
    <t>Capex (% of revenue)</t>
  </si>
  <si>
    <t>Net working capital (% of revenue)</t>
  </si>
  <si>
    <t>WACC</t>
  </si>
  <si>
    <t>Terminal growth</t>
  </si>
  <si>
    <t>Net debt</t>
  </si>
  <si>
    <t>Shares outstanding (m)</t>
  </si>
  <si>
    <t>Period</t>
  </si>
  <si>
    <t>($ millions)</t>
  </si>
  <si>
    <t>2023A</t>
  </si>
  <si>
    <t>2024E</t>
  </si>
  <si>
    <t>2025E</t>
  </si>
  <si>
    <t>2026E</t>
  </si>
  <si>
    <t>2027E</t>
  </si>
  <si>
    <t>2028E</t>
  </si>
  <si>
    <t>Revenue</t>
  </si>
  <si>
    <t>EBIT</t>
  </si>
  <si>
    <t>Taxes on EBIT</t>
  </si>
  <si>
    <t>NOPAT</t>
  </si>
  <si>
    <t>Depreciation &amp; amortization</t>
  </si>
  <si>
    <t>Capital expenditures</t>
  </si>
  <si>
    <t>Net working capital</t>
  </si>
  <si>
    <t>Change in NWC</t>
  </si>
  <si>
    <t>Free cash flow to firm</t>
  </si>
  <si>
    <t>Discount factor</t>
  </si>
  <si>
    <t>PV of FCFF</t>
  </si>
  <si>
    <t>Sum of PV of FCFF</t>
  </si>
  <si>
    <t>Terminal value</t>
  </si>
  <si>
    <t>PV of terminal value</t>
  </si>
  <si>
    <t>Enterprise value</t>
  </si>
  <si>
    <t>Equity value</t>
  </si>
  <si>
    <t>Value per share ($)</t>
  </si>
  <si>
    <t>Risk-free rate</t>
  </si>
  <si>
    <t>Equity beta</t>
  </si>
  <si>
    <t>Equity risk premium</t>
  </si>
  <si>
    <t>Pre-tax cost of debt</t>
  </si>
  <si>
    <t>Share price ($)</t>
  </si>
  <si>
    <t>Equity (book value)</t>
  </si>
  <si>
    <t>Debt (book value)</t>
  </si>
  <si>
    <t>Cost of equity (CAPM)</t>
  </si>
  <si>
    <t>Weight of equity</t>
  </si>
  <si>
    <t>Weight of debt</t>
  </si>
  <si>
    <t>WACC (computed)</t>
  </si>
  <si>
    <t>Balance sheet ($ millions)</t>
  </si>
  <si>
    <t>2021A</t>
  </si>
  <si>
    <t>2022A</t>
  </si>
  <si>
    <t>Cash</t>
  </si>
  <si>
    <t>Receivables</t>
  </si>
  <si>
    <t>Inventory</t>
  </si>
  <si>
    <t>PP&amp;E, net</t>
  </si>
  <si>
    <t>Total assets</t>
  </si>
  <si>
    <t>Payables</t>
  </si>
  <si>
    <t>Long-term debt</t>
  </si>
  <si>
    <t>Total liabilities</t>
  </si>
  <si>
    <t>Total equity</t>
  </si>
  <si>
    <t>Total liabilities and equity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</si>
</sst>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36.7109375" customWidth="1"/>
  </cols>
  <sheetData>
    <row r="1" spans="1:2">
      <c r="A1" s="1" t="s">
        <v>0</v>
      </c>
    </row>
    <row r="3" spans="1:2">
      <c r="A3" t="s">
        <v>1</v>
      </c>
      <c r="B3" s="2">
        <v>0.06</v>
      </c>
    </row>
    <row r="4" spans="1:2">
      <c r="A4" t="s">
        <v>2</v>
      </c>
      <c r="B4" s="2">
        <v>0.15</v>
      </c>
    </row>
    <row r="5" spans="1:2">
      <c r="A5" t="s">
        <v>3</v>
      </c>
      <c r="B5" s="2">
        <v>0.25</v>
      </c>
    </row>
    <row r="6" spans="1:2">
      <c r="A6" t="s">
        <v>4</v>
      </c>
      <c r="B6" s="2">
        <v>0.04</v>
      </c>
    </row>
    <row r="7" spans="1:2">
      <c r="A7" t="s">
        <v>5</v>
      </c>
      <c r="B7" s="2">
        <v>0.05</v>
      </c>
    </row>
    <row r="8" spans="1:2">
      <c r="A8" t="s">
        <v>6</v>
      </c>
      <c r="B8" s="2">
        <v>0.12</v>
      </c>
    </row>
    <row r="9" spans="1:2">
      <c r="A9" t="s">
        <v>7</v>
      </c>
      <c r="B9" s="2">
        <v>0.08</v>
      </c>
    </row>
    <row r="10" spans="1:2">
      <c r="A10" t="s">
        <v>8</v>
      </c>
      <c r="B10" s="2">
        <v>0.06</v>
      </c>
    </row>
    <row r="11" spans="1:2">
      <c r="A11" t="s">
        <v>9</v>
      </c>
      <c r="B11" s="3">
        <v>300</v>
      </c>
    </row>
    <row r="12" spans="1:2">
      <c r="A12" t="s">
        <v>10</v>
      </c>
      <c r="B12" s="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22"/>
  <sheetViews>
    <sheetView workbookViewId="0"/>
  </sheetViews>
  <sheetFormatPr defaultRowHeight="15"/>
  <cols>
    <col min="1" max="1" width="30.7109375" customWidth="1"/>
    <col min="2" max="7" width="11.7109375" customWidth="1"/>
  </cols>
  <sheetData>
    <row r="2" spans="1:7">
      <c r="A2" t="s">
        <v>11</v>
      </c>
      <c r="C2">
        <v>1</v>
      </c>
      <c r="D2">
        <v>2</v>
      </c>
      <c r="E2">
        <v>3</v>
      </c>
      <c r="F2">
        <v>4</v>
      </c>
      <c r="G2">
        <v>5</v>
      </c>
    </row>
    <row r="3" spans="1:7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>
      <c r="A4" t="s">
        <v>19</v>
      </c>
      <c r="B4" s="3">
        <v>1000</v>
      </c>
      <c r="C4">
        <f>B4*(1+Assumptions!$B$3)</f>
        <v>1060.0</v>
      </c>
      <c r="D4">
        <f>C4*(1+Assumptions!$B$3)</f>
        <v>1123.6000000000001</v>
      </c>
      <c r="E4">
        <f>D4*1.06</f>
        <v>1191.0160000000003</v>
      </c>
      <c r="F4">
        <f>E4*(1+Assumptions!$B$3)</f>
        <v>1262.4769600000004</v>
      </c>
      <c r="G4">
        <f>F4*(1+Assumptions!$B$3)</f>
        <v>1338.2255776000004</v>
      </c>
    </row>
    <row r="5" spans="1:7">
      <c r="A5" t="s">
        <v>20</v>
      </c>
      <c r="C5">
        <f>C4*Assumptions!$B$4</f>
        <v>159.0</v>
      </c>
      <c r="D5">
        <f>D4*Assumptions!$B$4</f>
        <v>168.54000000000002</v>
      </c>
      <c r="E5">
        <f>E4*Assumptions!$B$4</f>
        <v>178.65240000000003</v>
      </c>
      <c r="F5">
        <v>180</v>
      </c>
      <c r="G5">
        <f>G4*Assumptions!$B$4</f>
        <v>200.73383664000005</v>
      </c>
    </row>
    <row r="6" spans="1:7">
      <c r="A6" t="s">
        <v>21</v>
      </c>
      <c r="C6">
        <f>C5*Assumptions!$B$5</f>
        <v>39.75</v>
      </c>
      <c r="D6">
        <f>D5*Assumptions!$B$5</f>
        <v>42.135000000000005</v>
      </c>
      <c r="E6">
        <f>E5*Assumptions!$B$5</f>
        <v>44.66310000000001</v>
      </c>
      <c r="F6">
        <f>F5*Assumptions!$B$5</f>
        <v>45.0</v>
      </c>
      <c r="G6">
        <f>G5*Assumptions!$B$5</f>
        <v>50.18345916000001</v>
      </c>
    </row>
    <row r="7" spans="1:7">
      <c r="A7" t="s">
        <v>22</v>
      </c>
      <c r="C7">
        <f>C5-C6</f>
        <v>119.25</v>
      </c>
      <c r="D7">
        <f>D5-D6</f>
        <v>126.40500000000002</v>
      </c>
      <c r="E7">
        <f>E5-E6</f>
        <v>133.98930000000001</v>
      </c>
      <c r="F7">
        <f>F5-F6</f>
        <v>135.0</v>
      </c>
      <c r="G7">
        <f>G5-G6</f>
        <v>150.55037748000004</v>
      </c>
    </row>
    <row r="8" spans="1:7">
      <c r="A8" t="s">
        <v>23</v>
      </c>
      <c r="C8">
        <f>C4*Assumptions!$B$6</f>
        <v>42.4</v>
      </c>
      <c r="D8">
        <f>D4*Assumptions!$B$6</f>
        <v>44.94400000000001</v>
      </c>
      <c r="E8">
        <f>E4*Assumptions!$B$6</f>
        <v>47.64064000000001</v>
      </c>
      <c r="F8">
        <f>F4*Assumptions!$B$6</f>
        <v>50.499078400000016</v>
      </c>
      <c r="G8">
        <f>G4*Assumptions!$B$6</f>
        <v>53.52902310400002</v>
      </c>
    </row>
    <row r="9" spans="1:7">
      <c r="A9" t="s">
        <v>24</v>
      </c>
      <c r="C9">
        <f>C4*Assumptions!$B$7</f>
        <v>53.0</v>
      </c>
      <c r="D9">
        <f>D4*Assumptions!$B$7</f>
        <v>56.18000000000001</v>
      </c>
      <c r="E9">
        <f>E4*Assumptions!$B$7</f>
        <v>59.55080000000002</v>
      </c>
      <c r="F9">
        <f>F4*Assumptions!$B$7</f>
        <v>63.123848000000024</v>
      </c>
      <c r="G9">
        <f>G4*Assumptions!$B$7</f>
        <v>66.91127888000003</v>
      </c>
    </row>
    <row r="10" spans="1:7">
      <c r="A10" t="s">
        <v>25</v>
      </c>
      <c r="B10" s="3">
        <v>120</v>
      </c>
      <c r="C10">
        <f>C4*Assumptions!$B$8</f>
        <v>127.19999999999999</v>
      </c>
      <c r="D10">
        <f>D4*Assumptions!$B$8</f>
        <v>134.83200000000002</v>
      </c>
      <c r="E10">
        <f>E4*Assumptions!$B$8</f>
        <v>142.92192000000003</v>
      </c>
      <c r="F10">
        <f>F4*Assumptions!$B$8</f>
        <v>151.49723520000003</v>
      </c>
      <c r="G10">
        <f>G4*Assumptions!$B$8</f>
        <v>160.58706931200004</v>
      </c>
    </row>
    <row r="11" spans="1:7">
      <c r="A11" t="s">
        <v>26</v>
      </c>
      <c r="C11">
        <f>C10-B10</f>
        <v>7.199999999999989</v>
      </c>
      <c r="D11">
        <f>D10-C10</f>
        <v>7.632000000000033</v>
      </c>
      <c r="E11">
        <f>E10-D10</f>
        <v>8.089920000000006</v>
      </c>
      <c r="F11">
        <f>F10-E10</f>
        <v>8.575315200000006</v>
      </c>
      <c r="G11">
        <f>G10-F10</f>
        <v>9.089834112000005</v>
      </c>
    </row>
    <row r="12" spans="1:7">
      <c r="A12" t="s">
        <v>27</v>
      </c>
      <c r="C12">
        <f>C5+C8-C9-C11</f>
        <v>141.20000000000002</v>
      </c>
      <c r="D12">
        <f>D5+D8-D9-D11</f>
        <v>149.672</v>
      </c>
      <c r="E12">
        <f>E5+E8-E9</f>
        <v>166.74224000000004</v>
      </c>
      <c r="F12">
        <f>F5+F8-F9-F11</f>
        <v>158.79991520000002</v>
      </c>
      <c r="G12">
        <f>G5+G8-G9-G11</f>
        <v>178.26174675200005</v>
      </c>
    </row>
    <row r="13" spans="1:7">
      <c r="A13" t="s">
        <v>28</v>
      </c>
      <c r="C13">
        <f>1/(1+Assumptions!$B$9)^C2</f>
        <v>0.9259259259259258</v>
      </c>
      <c r="D13">
        <f>1/(1+Assumptions!$B$9)^D2</f>
        <v>0.8573388203017832</v>
      </c>
      <c r="E13">
        <f>1/(1+Assumptions!$B$9)^E2</f>
        <v>0.7938322410201696</v>
      </c>
      <c r="F13">
        <f>1/(1+Assumptions!$B$9)^F2</f>
        <v>0.7350298527964533</v>
      </c>
      <c r="G13">
        <f>1/(1+Assumptions!$B$9)^G2</f>
        <v>0.6805831970337529</v>
      </c>
    </row>
    <row r="14" spans="1:7">
      <c r="A14" t="s">
        <v>29</v>
      </c>
      <c r="C14">
        <f>C12*C13</f>
        <v>130.74074074074073</v>
      </c>
      <c r="D14">
        <f>D12*D13</f>
        <v>128.3196159122085</v>
      </c>
      <c r="E14">
        <f>E12*E13</f>
        <v>132.365366051923</v>
      </c>
      <c r="F14">
        <f>F12*F13</f>
        <v>116.72267829354527</v>
      </c>
      <c r="G14">
        <f>G12*G13</f>
        <v>121.32194951329741</v>
      </c>
    </row>
    <row r="16" spans="1:7">
      <c r="A16" t="s">
        <v>30</v>
      </c>
      <c r="B16">
        <f>SUM(C14:G14)</f>
        <v>629.4703505117149</v>
      </c>
    </row>
    <row r="17" spans="1:2">
      <c r="A17" t="s">
        <v>31</v>
      </c>
      <c r="B17">
        <f>G12*(1+Assumptions!$B$10)/(Assumptions!$B$9-Assumptions!$B$10)</f>
        <v>9447.872577856002</v>
      </c>
    </row>
    <row r="18" spans="1:2">
      <c r="A18" t="s">
        <v>32</v>
      </c>
      <c r="B18">
        <f>B17/(1+Assumptions!$B$9)^4</f>
        <v>6944.4683901411445</v>
      </c>
    </row>
    <row r="19" spans="1:2">
      <c r="A19" s="1" t="s">
        <v>33</v>
      </c>
      <c r="B19">
        <f>B16+B18</f>
        <v>7573.938740652859</v>
      </c>
    </row>
    <row r="20" spans="1:2">
      <c r="A20" t="s">
        <v>9</v>
      </c>
      <c r="B20">
        <f>Assumptions!$B$11</f>
        <v>300.0</v>
      </c>
    </row>
    <row r="21" spans="1:2">
      <c r="A21" s="1" t="s">
        <v>34</v>
      </c>
      <c r="B21">
        <f>B19-B20</f>
        <v>7273.938740652859</v>
      </c>
    </row>
    <row r="22" spans="1:2">
      <c r="A22" s="1" t="s">
        <v>35</v>
      </c>
      <c r="B22">
        <f>B21/Assumptions!$B$12</f>
        <v>145.47877481305719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B13"/>
  <sheetViews>
    <sheetView workbookViewId="0"/>
  </sheetViews>
  <sheetFormatPr defaultRowHeight="15"/>
  <cols>
    <col min="1" max="1" width="26.7109375" customWidth="1"/>
  </cols>
  <sheetData>
    <row r="2" spans="1:2">
      <c r="A2" t="s">
        <v>36</v>
      </c>
      <c r="B2" s="3">
        <v>0.04</v>
      </c>
    </row>
    <row r="3" spans="1:2">
      <c r="A3" t="s">
        <v>37</v>
      </c>
      <c r="B3" s="3">
        <v>1.2</v>
      </c>
    </row>
    <row r="4" spans="1:2">
      <c r="A4" t="s">
        <v>38</v>
      </c>
      <c r="B4" s="3">
        <v>0.055</v>
      </c>
    </row>
    <row r="5" spans="1:2">
      <c r="A5" t="s">
        <v>39</v>
      </c>
      <c r="B5" s="3">
        <v>0.06</v>
      </c>
    </row>
    <row r="6" spans="1:2">
      <c r="A6" t="s">
        <v>40</v>
      </c>
      <c r="B6" s="3">
        <v>30</v>
      </c>
    </row>
    <row r="7" spans="1:2">
      <c r="A7" t="s">
        <v>41</v>
      </c>
      <c r="B7" s="3">
        <v>400</v>
      </c>
    </row>
    <row r="8" spans="1:2">
      <c r="A8" t="s">
        <v>42</v>
      </c>
      <c r="B8" s="3">
        <v>350</v>
      </c>
    </row>
    <row r="10" spans="1:2">
      <c r="A10" t="s">
        <v>43</v>
      </c>
      <c r="B10">
        <f>B2+B3*B4</f>
        <v>0.10600000000000001</v>
      </c>
    </row>
    <row r="11" spans="1:2">
      <c r="A11" t="s">
        <v>44</v>
      </c>
      <c r="B11">
        <f>B7/(B7+B8)</f>
        <v>0.5333333333333333</v>
      </c>
    </row>
    <row r="12" spans="1:2">
      <c r="A12" t="s">
        <v>45</v>
      </c>
      <c r="B12">
        <f>B8/(B7+B8)</f>
        <v>0.4666666666666667</v>
      </c>
    </row>
    <row r="13" spans="1:2">
      <c r="A13" t="s">
        <v>46</v>
      </c>
      <c r="B13">
        <f>B11*B10+B12*B5*(1-Assumptions!$B$5)</f>
        <v>0.07753333333333334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30.7109375" customWidth="1"/>
  </cols>
  <sheetData>
    <row r="1" spans="1:4">
      <c r="A1" s="1" t="s">
        <v>47</v>
      </c>
    </row>
    <row r="2" spans="1:4">
      <c r="A2" s="1"/>
      <c r="B2" s="1" t="s">
        <v>48</v>
      </c>
      <c r="C2" s="1" t="s">
        <v>49</v>
      </c>
      <c r="D2" s="1" t="s">
        <v>13</v>
      </c>
    </row>
    <row r="3" spans="1:4">
      <c r="A3" t="s">
        <v>50</v>
      </c>
      <c r="B3">
        <v>80</v>
      </c>
      <c r="C3">
        <v>95</v>
      </c>
      <c r="D3">
        <v>110</v>
      </c>
    </row>
    <row r="4" spans="1:4">
      <c r="A4" t="s">
        <v>51</v>
      </c>
      <c r="B4">
        <v>150</v>
      </c>
      <c r="C4">
        <v>160</v>
      </c>
      <c r="D4">
        <v>170</v>
      </c>
    </row>
    <row r="5" spans="1:4">
      <c r="A5" t="s">
        <v>52</v>
      </c>
      <c r="B5">
        <v>120</v>
      </c>
      <c r="C5">
        <v>130</v>
      </c>
      <c r="D5">
        <v>140</v>
      </c>
    </row>
    <row r="6" spans="1:4">
      <c r="A6" t="s">
        <v>53</v>
      </c>
      <c r="B6">
        <v>520</v>
      </c>
      <c r="C6">
        <v>520</v>
      </c>
      <c r="D6">
        <v>540</v>
      </c>
    </row>
    <row r="7" spans="1:4">
      <c r="A7" s="1" t="s">
        <v>54</v>
      </c>
      <c r="B7">
        <f>SUM(B3:B6)</f>
        <v>870</v>
      </c>
      <c r="C7">
        <f>SUM(C3:C6)</f>
        <v>905</v>
      </c>
      <c r="D7">
        <f>SUM(D3:D6)</f>
        <v>960</v>
      </c>
    </row>
    <row r="8" spans="1:4">
      <c r="A8" t="s">
        <v>55</v>
      </c>
      <c r="B8">
        <v>90</v>
      </c>
      <c r="C8">
        <v>95</v>
      </c>
      <c r="D8">
        <v>100</v>
      </c>
    </row>
    <row r="9" spans="1:4">
      <c r="A9" t="s">
        <v>56</v>
      </c>
      <c r="B9">
        <v>400</v>
      </c>
      <c r="C9">
        <v>405</v>
      </c>
      <c r="D9">
        <v>410</v>
      </c>
    </row>
    <row r="10" spans="1:4">
      <c r="A10" t="s">
        <v>57</v>
      </c>
      <c r="B10">
        <f>B8+B9</f>
        <v>490</v>
      </c>
      <c r="C10">
        <f>C8+C9</f>
        <v>500</v>
      </c>
      <c r="D10">
        <f>D8+D9</f>
        <v>510</v>
      </c>
    </row>
    <row r="11" spans="1:4">
      <c r="A11" t="s">
        <v>58</v>
      </c>
      <c r="B11">
        <v>380</v>
      </c>
      <c r="C11">
        <v>400</v>
      </c>
      <c r="D11">
        <v>450</v>
      </c>
    </row>
    <row r="12" spans="1:4">
      <c r="A12" s="1" t="s">
        <v>59</v>
      </c>
      <c r="B12">
        <f>B10+B11</f>
        <v>870</v>
      </c>
      <c r="C12">
        <f>C10+C11</f>
        <v>900</v>
      </c>
      <c r="D12">
        <f>D10+D11</f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DCF</vt:lpstr>
      <vt:lpstr>WACC</vt:lpstr>
      <vt:lpstr>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2026-10-26T13:33:06Z</dcterms:created>
  <dcterms:modified xsi:type="dcterms:W3CDTF">2026-10-26T13:33:06Z</dcterms:modified>
</cp:coreProperties>
</file>